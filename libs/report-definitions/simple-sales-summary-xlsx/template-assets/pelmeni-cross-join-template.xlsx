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  <sheet name="Channels" sheetId="2" state="visible" r:id="rId4"/>
    <sheet name="CrossJoi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<sst xmlns="http://schemas.openxmlformats.org/spreadsheetml/2006/main" count="48" uniqueCount="39">
  <si>
    <t xml:space="preserve">Business case: pelmeni SKU base economics</t>
  </si>
  <si>
    <t xml:space="preserve">Each row is one SKU. The 2×3 numeric matrix is B4:D5.</t>
  </si>
  <si>
    <t xml:space="preserve">SKU</t>
  </si>
  <si>
    <t xml:space="preserve">Base price</t>
  </si>
  <si>
    <t xml:space="preserve">Unit cost</t>
  </si>
  <si>
    <t xml:space="preserve">Base monthly units</t>
  </si>
  <si>
    <t xml:space="preserve">Why this sheet exists</t>
  </si>
  <si>
    <t xml:space="preserve">Classic Pelmeni 800g</t>
  </si>
  <si>
    <t xml:space="preserve">The owner wants to test how two pelmeni SKUs would perform</t>
  </si>
  <si>
    <t xml:space="preserve">Mini Pelmeni 500g</t>
  </si>
  <si>
    <t xml:space="preserve">across different sales channels before launching campaigns.</t>
  </si>
  <si>
    <t xml:space="preserve">Rows = products, columns = base economics.</t>
  </si>
  <si>
    <t xml:space="preserve">Business case: sales-channel / campaign modifiers</t>
  </si>
  <si>
    <t xml:space="preserve">Each row is one sales scenario. The 3×4 numeric matrix is B4:E6.</t>
  </si>
  <si>
    <t xml:space="preserve">Channel scenario</t>
  </si>
  <si>
    <t xml:space="preserve">Discount %</t>
  </si>
  <si>
    <t xml:space="preserve">Demand uplift %</t>
  </si>
  <si>
    <t xml:space="preserve">Logistics cost / unit</t>
  </si>
  <si>
    <t xml:space="preserve">Partner fee %</t>
  </si>
  <si>
    <t xml:space="preserve">Interpretation</t>
  </si>
  <si>
    <t xml:space="preserve">Own delivery (Novi Sad)</t>
  </si>
  <si>
    <t xml:space="preserve">Discount % lowers price.</t>
  </si>
  <si>
    <t xml:space="preserve">Local supermarket chain</t>
  </si>
  <si>
    <t xml:space="preserve">Demand uplift % increases expected units.</t>
  </si>
  <si>
    <t xml:space="preserve">Weekend food festival booth</t>
  </si>
  <si>
    <t xml:space="preserve">Logistics cost / unit covers delivery or stall operations.</t>
  </si>
  <si>
    <t xml:space="preserve">Partner fee % models marketplace / retailer take-rate.</t>
  </si>
  <si>
    <t xml:space="preserve">Cross-join report: every SKU × every channel scenario</t>
  </si>
  <si>
    <t xml:space="preserve">This sheet is formula-driven. It enumerates all 2 × 3 combinations and computes price, volume, and gross profit for each scenario.</t>
  </si>
  <si>
    <t xml:space="preserve">Adjusted price</t>
  </si>
  <si>
    <t xml:space="preserve">Forecast units</t>
  </si>
  <si>
    <t xml:space="preserve">Expected gross profit</t>
  </si>
  <si>
    <t xml:space="preserve">Formula for gross profit</t>
  </si>
  <si>
    <t xml:space="preserve">Forecast units × (Adjusted price − unit cost − logistics cost − channel fee)</t>
  </si>
  <si>
    <t xml:space="preserve">This is a quick planning model, not full P&amp;L.</t>
  </si>
  <si>
    <t xml:space="preserve">Why cross join is useful</t>
  </si>
  <si>
    <t xml:space="preserve">The owner sees every SKU-channel combination in one grid.</t>
  </si>
  <si>
    <t xml:space="preserve">That makes it easy to compare launch scenarios.</t>
  </si>
  <si>
    <t xml:space="preserve">Total expected gross profit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</si>
</sst>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RSD&quot;"/>
    <numFmt numFmtId="166" formatCode="#,##0"/>
    <numFmt numFmtId="167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0"/>
    <col collapsed="false" customWidth="true" hidden="false" outlineLevel="0" max="6" min="6" style="0" width="48"/>
  </cols>
  <sheetData>
    <row r="1" customFormat="false" ht="22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F3" s="4" t="s">
        <v>6</v>
      </c>
    </row>
    <row r="4" customFormat="false" ht="15" hidden="false" customHeight="false" outlineLevel="0" collapsed="false">
      <c r="A4" s="5" t="s">
        <v>7</v>
      </c>
      <c r="B4" s="6" t="n">
        <v>420</v>
      </c>
      <c r="C4" s="6" t="n">
        <v>180</v>
      </c>
      <c r="D4" s="7" t="n">
        <v>1200</v>
      </c>
      <c r="F4" s="0" t="s">
        <v>8</v>
      </c>
    </row>
    <row r="5" customFormat="false" ht="15" hidden="false" customHeight="false" outlineLevel="0" collapsed="false">
      <c r="A5" s="5" t="s">
        <v>9</v>
      </c>
      <c r="B5" s="6" t="n">
        <v>310</v>
      </c>
      <c r="C5" s="6" t="n">
        <v>135</v>
      </c>
      <c r="D5" s="7" t="n">
        <v>1800</v>
      </c>
      <c r="F5" s="0" t="s">
        <v>10</v>
      </c>
    </row>
    <row r="6" customFormat="false" ht="15" hidden="false" customHeight="false" outlineLevel="0" collapsed="false">
      <c r="F6" s="0" t="s">
        <v>11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8"/>
    <col collapsed="false" customWidth="true" hidden="false" outlineLevel="0" max="7" min="7" style="0" width="52"/>
  </cols>
  <sheetData>
    <row r="1" customFormat="false" ht="22" hidden="false" customHeight="true" outlineLevel="0" collapsed="false">
      <c r="A1" s="1" t="s">
        <v>12</v>
      </c>
      <c r="B1" s="1"/>
      <c r="C1" s="1"/>
      <c r="D1" s="1"/>
      <c r="E1" s="1"/>
    </row>
    <row r="2" customFormat="false" ht="15" hidden="false" customHeight="true" outlineLevel="0" collapsed="false">
      <c r="A2" s="2" t="s">
        <v>13</v>
      </c>
      <c r="B2" s="2"/>
      <c r="C2" s="2"/>
      <c r="D2" s="2"/>
      <c r="E2" s="2"/>
    </row>
    <row r="3" customFormat="false" ht="26.8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G3" s="4" t="s">
        <v>19</v>
      </c>
    </row>
    <row r="4" customFormat="false" ht="15" hidden="false" customHeight="false" outlineLevel="0" collapsed="false">
      <c r="A4" s="5" t="s">
        <v>20</v>
      </c>
      <c r="B4" s="8" t="n">
        <v>0</v>
      </c>
      <c r="C4" s="8" t="n">
        <v>0.1</v>
      </c>
      <c r="D4" s="6" t="n">
        <v>35</v>
      </c>
      <c r="E4" s="8" t="n">
        <v>0</v>
      </c>
      <c r="G4" s="0" t="s">
        <v>21</v>
      </c>
    </row>
    <row r="5" customFormat="false" ht="15" hidden="false" customHeight="false" outlineLevel="0" collapsed="false">
      <c r="A5" s="5" t="s">
        <v>22</v>
      </c>
      <c r="B5" s="8" t="n">
        <v>0.12</v>
      </c>
      <c r="C5" s="8" t="n">
        <v>0.3</v>
      </c>
      <c r="D5" s="6" t="n">
        <v>22</v>
      </c>
      <c r="E5" s="8" t="n">
        <v>0.08</v>
      </c>
      <c r="G5" s="0" t="s">
        <v>23</v>
      </c>
    </row>
    <row r="6" customFormat="false" ht="15" hidden="false" customHeight="false" outlineLevel="0" collapsed="false">
      <c r="A6" s="5" t="s">
        <v>24</v>
      </c>
      <c r="B6" s="8" t="n">
        <v>0.05</v>
      </c>
      <c r="C6" s="8" t="n">
        <v>0.55</v>
      </c>
      <c r="D6" s="6" t="n">
        <v>48</v>
      </c>
      <c r="E6" s="8" t="n">
        <v>0.03</v>
      </c>
      <c r="G6" s="0" t="s">
        <v>25</v>
      </c>
    </row>
    <row r="7" customFormat="false" ht="15" hidden="false" customHeight="false" outlineLevel="0" collapsed="false">
      <c r="G7" s="0" t="s">
        <v>26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20"/>
    <col collapsed="false" customWidth="true" hidden="false" outlineLevel="0" max="14" min="14" style="0" width="54"/>
  </cols>
  <sheetData>
    <row r="1" customFormat="false" ht="22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4" hidden="false" customHeight="true" outlineLevel="0" collapsed="false">
      <c r="A2" s="9" t="s">
        <v>28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29</v>
      </c>
      <c r="K3" s="3" t="s">
        <v>30</v>
      </c>
      <c r="L3" s="3" t="s">
        <v>31</v>
      </c>
      <c r="N3" s="4" t="s">
        <v>32</v>
      </c>
    </row>
    <row r="4" customFormat="false" ht="15" hidden="false" customHeight="false" outlineLevel="0" collapsed="false">
      <c r="A4" s="10" t="str">
        <f aca="false">Products!$A$4</f>
        <v>Classic Pelmeni 800g</v>
      </c>
      <c r="B4" s="11" t="n">
        <f aca="false">Products!$B$4</f>
        <v>420</v>
      </c>
      <c r="C4" s="11" t="n">
        <f aca="false">Products!$C$4</f>
        <v>180</v>
      </c>
      <c r="D4" s="12" t="n">
        <f aca="false">Products!$D$4</f>
        <v>1200</v>
      </c>
      <c r="E4" s="10" t="str">
        <f aca="false">Channels!$A$4</f>
        <v>Own delivery (Novi Sad)</v>
      </c>
      <c r="F4" s="13" t="n">
        <f aca="false">Channels!$B$4</f>
        <v>0</v>
      </c>
      <c r="G4" s="13" t="n">
        <f aca="false">Channels!$C$4</f>
        <v>0.1</v>
      </c>
      <c r="H4" s="11" t="n">
        <f aca="false">Channels!$D$4</f>
        <v>35</v>
      </c>
      <c r="I4" s="13" t="n">
        <f aca="false">Channels!$E$4</f>
        <v>0</v>
      </c>
      <c r="J4" s="11" t="n">
        <f aca="false">B4*(1-F4)</f>
        <v>420</v>
      </c>
      <c r="K4" s="12" t="n">
        <f aca="false">D4*(1+G4)</f>
        <v>1320</v>
      </c>
      <c r="L4" s="11" t="n">
        <f aca="false">K4*(J4-C4-H4-J4*I4)</f>
        <v>270600</v>
      </c>
      <c r="N4" s="0" t="s">
        <v>33</v>
      </c>
    </row>
    <row r="5" customFormat="false" ht="15" hidden="false" customHeight="false" outlineLevel="0" collapsed="false">
      <c r="A5" s="10" t="str">
        <f aca="false">Products!$A$4</f>
        <v>Classic Pelmeni 800g</v>
      </c>
      <c r="B5" s="11" t="n">
        <f aca="false">Products!$B$4</f>
        <v>420</v>
      </c>
      <c r="C5" s="11" t="n">
        <f aca="false">Products!$C$4</f>
        <v>180</v>
      </c>
      <c r="D5" s="12" t="n">
        <f aca="false">Products!$D$4</f>
        <v>1200</v>
      </c>
      <c r="E5" s="10" t="str">
        <f aca="false">Channels!$A$5</f>
        <v>Local supermarket chain</v>
      </c>
      <c r="F5" s="13" t="n">
        <f aca="false">Channels!$B$5</f>
        <v>0.12</v>
      </c>
      <c r="G5" s="13" t="n">
        <f aca="false">Channels!$C$5</f>
        <v>0.3</v>
      </c>
      <c r="H5" s="11" t="n">
        <f aca="false">Channels!$D$5</f>
        <v>22</v>
      </c>
      <c r="I5" s="13" t="n">
        <f aca="false">Channels!$E$5</f>
        <v>0.08</v>
      </c>
      <c r="J5" s="11" t="n">
        <f aca="false">B5*(1-F5)</f>
        <v>369.6</v>
      </c>
      <c r="K5" s="12" t="n">
        <f aca="false">D5*(1+G5)</f>
        <v>1560</v>
      </c>
      <c r="L5" s="11" t="n">
        <f aca="false">K5*(J5-C5-H5-J5*I5)</f>
        <v>215329.92</v>
      </c>
      <c r="N5" s="0" t="s">
        <v>34</v>
      </c>
    </row>
    <row r="6" customFormat="false" ht="15" hidden="false" customHeight="false" outlineLevel="0" collapsed="false">
      <c r="A6" s="10" t="str">
        <f aca="false">Products!$A$4</f>
        <v>Classic Pelmeni 800g</v>
      </c>
      <c r="B6" s="11" t="n">
        <f aca="false">Products!$B$4</f>
        <v>420</v>
      </c>
      <c r="C6" s="11" t="n">
        <f aca="false">Products!$C$4</f>
        <v>180</v>
      </c>
      <c r="D6" s="12" t="n">
        <f aca="false">Products!$D$4</f>
        <v>1200</v>
      </c>
      <c r="E6" s="10" t="str">
        <f aca="false">Channels!$A$6</f>
        <v>Weekend food festival booth</v>
      </c>
      <c r="F6" s="13" t="n">
        <f aca="false">Channels!$B$6</f>
        <v>0.05</v>
      </c>
      <c r="G6" s="13" t="n">
        <f aca="false">Channels!$C$6</f>
        <v>0.55</v>
      </c>
      <c r="H6" s="11" t="n">
        <f aca="false">Channels!$D$6</f>
        <v>48</v>
      </c>
      <c r="I6" s="13" t="n">
        <f aca="false">Channels!$E$6</f>
        <v>0.03</v>
      </c>
      <c r="J6" s="11" t="n">
        <f aca="false">B6*(1-F6)</f>
        <v>399</v>
      </c>
      <c r="K6" s="12" t="n">
        <f aca="false">D6*(1+G6)</f>
        <v>1860</v>
      </c>
      <c r="L6" s="11" t="n">
        <f aca="false">K6*(J6-C6-H6-J6*I6)</f>
        <v>295795.8</v>
      </c>
    </row>
    <row r="7" customFormat="false" ht="15" hidden="false" customHeight="false" outlineLevel="0" collapsed="false">
      <c r="A7" s="10" t="str">
        <f aca="false">Products!$A$5</f>
        <v>Mini Pelmeni 500g</v>
      </c>
      <c r="B7" s="11" t="n">
        <f aca="false">Products!$B$5</f>
        <v>310</v>
      </c>
      <c r="C7" s="11" t="n">
        <f aca="false">Products!$C$5</f>
        <v>135</v>
      </c>
      <c r="D7" s="12" t="n">
        <f aca="false">Products!$D$5</f>
        <v>1800</v>
      </c>
      <c r="E7" s="10" t="str">
        <f aca="false">Channels!$A$4</f>
        <v>Own delivery (Novi Sad)</v>
      </c>
      <c r="F7" s="13" t="n">
        <f aca="false">Channels!$B$4</f>
        <v>0</v>
      </c>
      <c r="G7" s="13" t="n">
        <f aca="false">Channels!$C$4</f>
        <v>0.1</v>
      </c>
      <c r="H7" s="11" t="n">
        <f aca="false">Channels!$D$4</f>
        <v>35</v>
      </c>
      <c r="I7" s="13" t="n">
        <f aca="false">Channels!$E$4</f>
        <v>0</v>
      </c>
      <c r="J7" s="11" t="n">
        <f aca="false">B7*(1-F7)</f>
        <v>310</v>
      </c>
      <c r="K7" s="12" t="n">
        <f aca="false">D7*(1+G7)</f>
        <v>1980</v>
      </c>
      <c r="L7" s="11" t="n">
        <f aca="false">K7*(J7-C7-H7-J7*I7)</f>
        <v>277200</v>
      </c>
      <c r="N7" s="4" t="s">
        <v>35</v>
      </c>
    </row>
    <row r="8" customFormat="false" ht="15" hidden="false" customHeight="false" outlineLevel="0" collapsed="false">
      <c r="A8" s="10" t="str">
        <f aca="false">Products!$A$5</f>
        <v>Mini Pelmeni 500g</v>
      </c>
      <c r="B8" s="11" t="n">
        <f aca="false">Products!$B$5</f>
        <v>310</v>
      </c>
      <c r="C8" s="11" t="n">
        <f aca="false">Products!$C$5</f>
        <v>135</v>
      </c>
      <c r="D8" s="12" t="n">
        <f aca="false">Products!$D$5</f>
        <v>1800</v>
      </c>
      <c r="E8" s="10" t="str">
        <f aca="false">Channels!$A$5</f>
        <v>Local supermarket chain</v>
      </c>
      <c r="F8" s="13" t="n">
        <f aca="false">Channels!$B$5</f>
        <v>0.12</v>
      </c>
      <c r="G8" s="13" t="n">
        <f aca="false">Channels!$C$5</f>
        <v>0.3</v>
      </c>
      <c r="H8" s="11" t="n">
        <f aca="false">Channels!$D$5</f>
        <v>22</v>
      </c>
      <c r="I8" s="13" t="n">
        <f aca="false">Channels!$E$5</f>
        <v>0.08</v>
      </c>
      <c r="J8" s="11" t="n">
        <f aca="false">B8*(1-F8)</f>
        <v>272.8</v>
      </c>
      <c r="K8" s="12" t="n">
        <f aca="false">D8*(1+G8)</f>
        <v>2340</v>
      </c>
      <c r="L8" s="11" t="n">
        <f aca="false">K8*(J8-C8-H8-J8*I8)</f>
        <v>219903.84</v>
      </c>
      <c r="N8" s="0" t="s">
        <v>36</v>
      </c>
    </row>
    <row r="9" customFormat="false" ht="15" hidden="false" customHeight="false" outlineLevel="0" collapsed="false">
      <c r="A9" s="10" t="str">
        <f aca="false">Products!$A$5</f>
        <v>Mini Pelmeni 500g</v>
      </c>
      <c r="B9" s="11" t="n">
        <f aca="false">Products!$B$5</f>
        <v>310</v>
      </c>
      <c r="C9" s="11" t="n">
        <f aca="false">Products!$C$5</f>
        <v>135</v>
      </c>
      <c r="D9" s="12" t="n">
        <f aca="false">Products!$D$5</f>
        <v>1800</v>
      </c>
      <c r="E9" s="10" t="str">
        <f aca="false">Channels!$A$6</f>
        <v>Weekend food festival booth</v>
      </c>
      <c r="F9" s="13" t="n">
        <f aca="false">Channels!$B$6</f>
        <v>0.05</v>
      </c>
      <c r="G9" s="13" t="n">
        <f aca="false">Channels!$C$6</f>
        <v>0.55</v>
      </c>
      <c r="H9" s="11" t="n">
        <f aca="false">Channels!$D$6</f>
        <v>48</v>
      </c>
      <c r="I9" s="13" t="n">
        <f aca="false">Channels!$E$6</f>
        <v>0.03</v>
      </c>
      <c r="J9" s="11" t="n">
        <f aca="false">B9*(1-F9)</f>
        <v>294.5</v>
      </c>
      <c r="K9" s="12" t="n">
        <f aca="false">D9*(1+G9)</f>
        <v>2790</v>
      </c>
      <c r="L9" s="11" t="n">
        <f aca="false">K9*(J9-C9-H9-J9*I9)</f>
        <v>286435.35</v>
      </c>
      <c r="N9" s="0" t="s">
        <v>37</v>
      </c>
    </row>
    <row r="10" customFormat="false" ht="15" hidden="false" customHeight="false" outlineLevel="0" collapsed="false">
      <c r="A10" s="14" t="s">
        <v>38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 t="n">
        <f aca="false">SUM(L4:L9)</f>
        <v>1565264.91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